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Proforma - Year 1" sheetId="2" state="visible" r:id="rId2"/>
    <sheet xmlns:r="http://schemas.openxmlformats.org/officeDocument/2006/relationships" name="Annual Summary Y1-Y3" sheetId="3" state="visible" r:id="rId3"/>
    <sheet xmlns:r="http://schemas.openxmlformats.org/officeDocument/2006/relationships" name="Pilot Scenario - Year 1" sheetId="4" state="visible" r:id="rId4"/>
    <sheet xmlns:r="http://schemas.openxmlformats.org/officeDocument/2006/relationships" name="Grant Detail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;&quot;($&quot;#,##0\);\-"/>
    <numFmt numFmtId="165" formatCode="0.0"/>
    <numFmt numFmtId="166" formatCode="$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b val="1"/>
      <sz val="14"/>
    </font>
    <font>
      <b val="1"/>
    </font>
    <font>
      <b val="1"/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1F2937"/>
        <bgColor rgb="FF333300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9" fontId="8" fillId="3" borderId="0" applyAlignment="1" pivotButton="0" quotePrefix="0" xfId="0">
      <alignment horizontal="general" vertical="bottom"/>
    </xf>
    <xf numFmtId="9" fontId="8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9" fontId="8" fillId="3" borderId="0" applyAlignment="1" pivotButton="0" quotePrefix="0" xfId="0">
      <alignment horizontal="general" vertical="bottom"/>
    </xf>
    <xf numFmtId="9" fontId="8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0" fontId="14" fillId="0" borderId="0" pivotButton="0" quotePrefix="0" xfId="0"/>
    <xf numFmtId="0" fontId="15" fillId="5" borderId="0" pivotButton="0" quotePrefix="0" xfId="0"/>
    <xf numFmtId="0" fontId="15" fillId="0" borderId="0" pivotButton="0" quotePrefix="0" xfId="0"/>
    <xf numFmtId="166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3" min="1" max="1"/>
    <col width="16" customWidth="1" style="23" min="2" max="4"/>
    <col width="40" customWidth="1" style="23" min="5" max="5"/>
  </cols>
  <sheetData>
    <row r="1" ht="17.35" customHeight="1" s="24">
      <c r="A1" s="25" t="inlineStr">
        <is>
          <t>Sidewalk Mosaic Project — Financial Model Assumptions</t>
        </is>
      </c>
    </row>
    <row r="2" ht="15" customHeight="1" s="24">
      <c r="A2" s="26" t="inlineStr">
        <is>
          <t>Working nonprofit name: TBD (placeholder used: Sidewalk Stories LA)</t>
        </is>
      </c>
    </row>
    <row r="4" ht="15" customHeight="1" s="24">
      <c r="A4" s="27" t="inlineStr">
        <is>
          <t>PROGRAM VOLUME</t>
        </is>
      </c>
      <c r="B4" s="28" t="n"/>
      <c r="C4" s="28" t="n"/>
      <c r="D4" s="28" t="n"/>
      <c r="E4" s="28" t="n"/>
    </row>
    <row r="5" ht="15" customHeight="1" s="24">
      <c r="A5" s="29" t="inlineStr">
        <is>
          <t>Panels completed, Month 1</t>
        </is>
      </c>
      <c r="B5" s="30" t="n">
        <v>2</v>
      </c>
    </row>
    <row r="6" ht="15" customHeight="1" s="24">
      <c r="A6" s="29" t="inlineStr">
        <is>
          <t>Panels completed, Month 12 (ramp target)</t>
        </is>
      </c>
      <c r="B6" s="30" t="n">
        <v>6</v>
      </c>
    </row>
    <row r="7" ht="15" customHeight="1" s="24">
      <c r="A7" s="29" t="inlineStr">
        <is>
          <t>Share of panels sponsored by a local business (%)</t>
        </is>
      </c>
      <c r="B7" s="31" t="n">
        <v>0.5</v>
      </c>
    </row>
    <row r="8" ht="15" customHeight="1" s="24">
      <c r="A8" s="29" t="inlineStr">
        <is>
          <t>Annual panel growth, Year 2 vs Year 1 (%)</t>
        </is>
      </c>
      <c r="B8" s="32" t="n">
        <v>0.4</v>
      </c>
    </row>
    <row r="9" ht="15" customHeight="1" s="24">
      <c r="A9" s="29" t="inlineStr">
        <is>
          <t>Annual panel growth, Year 3 vs Year 2 (%)</t>
        </is>
      </c>
      <c r="B9" s="32" t="n">
        <v>0.3</v>
      </c>
    </row>
    <row r="11" ht="15" customHeight="1" s="24">
      <c r="A11" s="27" t="inlineStr">
        <is>
          <t>COST PER PANEL (variable, one mosaic sidewalk panel)</t>
        </is>
      </c>
      <c r="B11" s="28" t="n"/>
      <c r="C11" s="28" t="n"/>
      <c r="D11" s="28" t="n"/>
      <c r="E11" s="28" t="n"/>
    </row>
    <row r="12" ht="15" customHeight="1" s="24">
      <c r="A12" s="29" t="inlineStr">
        <is>
          <t>Concrete prep and structural repair (licensed crew)</t>
        </is>
      </c>
      <c r="B12" s="33" t="n">
        <v>900</v>
      </c>
    </row>
    <row r="13" ht="15" customHeight="1" s="24">
      <c r="A13" s="29" t="inlineStr">
        <is>
          <t>Mosaic materials (tile, grout, sealant, safety gear for kids)</t>
        </is>
      </c>
      <c r="B13" s="33" t="n">
        <v>1000</v>
      </c>
    </row>
    <row r="14" ht="15" customHeight="1" s="24">
      <c r="A14" s="29" t="inlineStr">
        <is>
          <t>Teaching artist / program lead stipend per panel</t>
        </is>
      </c>
      <c r="B14" s="33" t="n">
        <v>400</v>
      </c>
    </row>
    <row r="15" ht="15" customHeight="1" s="24">
      <c r="A15" s="29" t="inlineStr">
        <is>
          <t>City right-of-way permit, average</t>
        </is>
      </c>
      <c r="B15" s="33" t="n">
        <v>400</v>
      </c>
    </row>
    <row r="16" ht="15" customHeight="1" s="24">
      <c r="A16" s="34" t="inlineStr">
        <is>
          <t>Total variable cost per panel</t>
        </is>
      </c>
      <c r="B16" s="35">
        <f>SUM(B12:B15)</f>
        <v/>
      </c>
    </row>
    <row r="18" ht="15" customHeight="1" s="24">
      <c r="A18" s="27" t="inlineStr">
        <is>
          <t>FIXED MONTHLY OPERATING COSTS</t>
        </is>
      </c>
      <c r="B18" s="28" t="n"/>
      <c r="C18" s="28" t="n"/>
      <c r="D18" s="28" t="n"/>
      <c r="E18" s="28" t="n"/>
    </row>
    <row r="19" ht="15" customHeight="1" s="24">
      <c r="A19" s="29" t="inlineStr">
        <is>
          <t>Bookkeeping / nonprofit admin</t>
        </is>
      </c>
      <c r="B19" s="36" t="n">
        <v>500</v>
      </c>
    </row>
    <row r="20" ht="15" customHeight="1" s="24">
      <c r="A20" s="29" t="inlineStr">
        <is>
          <t>General liability + program insurance</t>
        </is>
      </c>
      <c r="B20" s="36" t="n">
        <v>300</v>
      </c>
    </row>
    <row r="21" ht="15" customHeight="1" s="24">
      <c r="A21" s="29" t="inlineStr">
        <is>
          <t>App hosting / maintenance (Jason's build)</t>
        </is>
      </c>
      <c r="B21" s="36" t="n">
        <v>200</v>
      </c>
    </row>
    <row r="22" ht="15" customHeight="1" s="24">
      <c r="A22" s="29" t="inlineStr">
        <is>
          <t>Marketing and social content</t>
        </is>
      </c>
      <c r="B22" s="36" t="n">
        <v>200</v>
      </c>
    </row>
    <row r="23" ht="15" customHeight="1" s="24">
      <c r="A23" s="29" t="inlineStr">
        <is>
          <t>Part-time program coordinator (optional, set 0 if unpaid)</t>
        </is>
      </c>
      <c r="B23" s="33" t="n">
        <v>1500</v>
      </c>
    </row>
    <row r="24" ht="15" customHeight="1" s="24">
      <c r="A24" s="34" t="inlineStr">
        <is>
          <t>Total fixed cost per month</t>
        </is>
      </c>
      <c r="B24" s="35">
        <f>SUM(B19:B23)</f>
        <v/>
      </c>
    </row>
    <row r="26" ht="15" customHeight="1" s="24">
      <c r="A26" s="27" t="inlineStr">
        <is>
          <t>ONE-TIME YEAR 1 STARTUP COSTS</t>
        </is>
      </c>
      <c r="B26" s="28" t="n"/>
      <c r="C26" s="28" t="n"/>
      <c r="D26" s="28" t="n"/>
      <c r="E26" s="28" t="n"/>
    </row>
    <row r="27" ht="15" customHeight="1" s="24">
      <c r="A27" s="29" t="inlineStr">
        <is>
          <t>501(c)(3) formation, legal and filing fees</t>
        </is>
      </c>
      <c r="B27" s="36" t="n">
        <v>2000</v>
      </c>
    </row>
    <row r="28" ht="15" customHeight="1" s="24">
      <c r="A28" s="29" t="inlineStr">
        <is>
          <t>App development, cash cost (0 if Jason contributes as sweat equity)</t>
        </is>
      </c>
      <c r="B28" s="33" t="n">
        <v>0</v>
      </c>
    </row>
    <row r="29" ht="15" customHeight="1" s="24">
      <c r="A29" s="29" t="inlineStr">
        <is>
          <t>Branding and website</t>
        </is>
      </c>
      <c r="B29" s="36" t="n">
        <v>1500</v>
      </c>
    </row>
    <row r="30" ht="15" customHeight="1" s="24">
      <c r="A30" s="34" t="inlineStr">
        <is>
          <t>Total one-time startup cost</t>
        </is>
      </c>
      <c r="B30" s="35">
        <f>SUM(B27:B29)</f>
        <v/>
      </c>
    </row>
    <row r="32" ht="15" customHeight="1" s="24">
      <c r="A32" s="27" t="inlineStr">
        <is>
          <t>REVENUE ASSUMPTIONS</t>
        </is>
      </c>
      <c r="B32" s="28" t="n"/>
      <c r="C32" s="28" t="n"/>
      <c r="D32" s="28" t="n"/>
      <c r="E32" s="28" t="n"/>
    </row>
    <row r="33" ht="15" customHeight="1" s="24">
      <c r="A33" s="29" t="inlineStr">
        <is>
          <t>Individual donations, Month 1 (monthly)</t>
        </is>
      </c>
      <c r="B33" s="33" t="n">
        <v>500</v>
      </c>
    </row>
    <row r="34" ht="15" customHeight="1" s="24">
      <c r="A34" s="29" t="inlineStr">
        <is>
          <t>Individual donations, Month 12 (monthly)</t>
        </is>
      </c>
      <c r="B34" s="33" t="n">
        <v>1500</v>
      </c>
    </row>
    <row r="35" ht="15" customHeight="1" s="24">
      <c r="A35" s="29" t="inlineStr">
        <is>
          <t>Sponsorship fee per sponsored panel</t>
        </is>
      </c>
      <c r="B35" s="33" t="n">
        <v>750</v>
      </c>
    </row>
    <row r="36" ht="15" customHeight="1" s="24">
      <c r="A36" s="29" t="inlineStr">
        <is>
          <t>Grant revenue, Quarter 2 (one time)</t>
        </is>
      </c>
      <c r="B36" s="36" t="n">
        <v>5000</v>
      </c>
    </row>
    <row r="37" ht="15" customHeight="1" s="24">
      <c r="A37" s="29" t="inlineStr">
        <is>
          <t>Grant revenue, Quarter 4 (one time)</t>
        </is>
      </c>
      <c r="B37" s="36" t="n">
        <v>7500</v>
      </c>
    </row>
    <row r="38" ht="15" customHeight="1" s="24">
      <c r="A38" s="29" t="inlineStr">
        <is>
          <t>Events / merchandise, per month starting Month 6</t>
        </is>
      </c>
      <c r="B38" s="36" t="n">
        <v>300</v>
      </c>
    </row>
    <row r="40" ht="45" customHeight="1" s="24">
      <c r="A40" s="37" t="inlineStr">
        <is>
          <t>Note: Safe Sidewalks LA rebate (up to $10,000 per property, per city program rules as of early 2026) is a homeowner-facing reimbursement, not modeled as direct nonprofit revenue. If you formally partner with the city or with homeowners on qualifying panels, this is realistic upside not reflected below.</t>
        </is>
      </c>
    </row>
    <row r="42" ht="15" customHeight="1" s="24">
      <c r="A42" s="29" t="inlineStr">
        <is>
          <t>Fixed operating cost inflation, per year</t>
        </is>
      </c>
      <c r="B42" s="31" t="n">
        <v>0.05</v>
      </c>
    </row>
  </sheetData>
  <mergeCells count="1">
    <mergeCell ref="A40:E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3" min="1" max="1"/>
    <col width="11" customWidth="1" style="23" min="2" max="13"/>
    <col width="13" customWidth="1" style="23" min="14" max="14"/>
  </cols>
  <sheetData>
    <row r="1" ht="16.15" customHeight="1" s="24">
      <c r="A1" s="38" t="inlineStr">
        <is>
          <t>Sidewalk Mosaic Project — Year 1 Monthly Proforma</t>
        </is>
      </c>
    </row>
    <row r="3" ht="15" customHeight="1" s="24">
      <c r="B3" s="39" t="inlineStr">
        <is>
          <t>Month 1</t>
        </is>
      </c>
      <c r="C3" s="39" t="inlineStr">
        <is>
          <t>Month 2</t>
        </is>
      </c>
      <c r="D3" s="39" t="inlineStr">
        <is>
          <t>Month 3</t>
        </is>
      </c>
      <c r="E3" s="39" t="inlineStr">
        <is>
          <t>Month 4</t>
        </is>
      </c>
      <c r="F3" s="39" t="inlineStr">
        <is>
          <t>Month 5</t>
        </is>
      </c>
      <c r="G3" s="39" t="inlineStr">
        <is>
          <t>Month 6</t>
        </is>
      </c>
      <c r="H3" s="39" t="inlineStr">
        <is>
          <t>Month 7</t>
        </is>
      </c>
      <c r="I3" s="39" t="inlineStr">
        <is>
          <t>Month 8</t>
        </is>
      </c>
      <c r="J3" s="39" t="inlineStr">
        <is>
          <t>Month 9</t>
        </is>
      </c>
      <c r="K3" s="39" t="inlineStr">
        <is>
          <t>Month 10</t>
        </is>
      </c>
      <c r="L3" s="39" t="inlineStr">
        <is>
          <t>Month 11</t>
        </is>
      </c>
      <c r="M3" s="39" t="inlineStr">
        <is>
          <t>Month 12</t>
        </is>
      </c>
      <c r="N3" s="39" t="inlineStr">
        <is>
          <t>Year 1 Total</t>
        </is>
      </c>
    </row>
    <row r="4" ht="15" customHeight="1" s="24">
      <c r="A4" s="40" t="inlineStr">
        <is>
          <t>PROGRAM VOLUME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</row>
    <row r="5" ht="15" customHeight="1" s="24">
      <c r="A5" s="23" t="inlineStr">
        <is>
          <t>Panels completed this month</t>
        </is>
      </c>
      <c r="B5" s="41">
        <f>Assumptions!$B$5+(Assumptions!$B$6-Assumptions!$B$5)/11*(1-1)</f>
        <v/>
      </c>
      <c r="C5" s="41">
        <f>Assumptions!$B$5+(Assumptions!$B$6-Assumptions!$B$5)/11*(2-1)</f>
        <v/>
      </c>
      <c r="D5" s="41">
        <f>Assumptions!$B$5+(Assumptions!$B$6-Assumptions!$B$5)/11*(3-1)</f>
        <v/>
      </c>
      <c r="E5" s="41">
        <f>Assumptions!$B$5+(Assumptions!$B$6-Assumptions!$B$5)/11*(4-1)</f>
        <v/>
      </c>
      <c r="F5" s="41">
        <f>Assumptions!$B$5+(Assumptions!$B$6-Assumptions!$B$5)/11*(5-1)</f>
        <v/>
      </c>
      <c r="G5" s="41">
        <f>Assumptions!$B$5+(Assumptions!$B$6-Assumptions!$B$5)/11*(6-1)</f>
        <v/>
      </c>
      <c r="H5" s="41">
        <f>Assumptions!$B$5+(Assumptions!$B$6-Assumptions!$B$5)/11*(7-1)</f>
        <v/>
      </c>
      <c r="I5" s="41">
        <f>Assumptions!$B$5+(Assumptions!$B$6-Assumptions!$B$5)/11*(8-1)</f>
        <v/>
      </c>
      <c r="J5" s="41">
        <f>Assumptions!$B$5+(Assumptions!$B$6-Assumptions!$B$5)/11*(9-1)</f>
        <v/>
      </c>
      <c r="K5" s="41">
        <f>Assumptions!$B$5+(Assumptions!$B$6-Assumptions!$B$5)/11*(10-1)</f>
        <v/>
      </c>
      <c r="L5" s="41">
        <f>Assumptions!$B$5+(Assumptions!$B$6-Assumptions!$B$5)/11*(11-1)</f>
        <v/>
      </c>
      <c r="M5" s="41">
        <f>Assumptions!$B$5+(Assumptions!$B$6-Assumptions!$B$5)/11*(12-1)</f>
        <v/>
      </c>
      <c r="N5" s="42">
        <f>SUM(B5:M5)</f>
        <v/>
      </c>
    </row>
    <row r="6" ht="15" customHeight="1" s="24">
      <c r="A6" s="23" t="inlineStr">
        <is>
          <t>Of which, sponsored panels</t>
        </is>
      </c>
      <c r="B6" s="41">
        <f>B5*Assumptions!$B$7</f>
        <v/>
      </c>
      <c r="C6" s="41">
        <f>C5*Assumptions!$B$7</f>
        <v/>
      </c>
      <c r="D6" s="41">
        <f>D5*Assumptions!$B$7</f>
        <v/>
      </c>
      <c r="E6" s="41">
        <f>E5*Assumptions!$B$7</f>
        <v/>
      </c>
      <c r="F6" s="41">
        <f>F5*Assumptions!$B$7</f>
        <v/>
      </c>
      <c r="G6" s="41">
        <f>G5*Assumptions!$B$7</f>
        <v/>
      </c>
      <c r="H6" s="41">
        <f>H5*Assumptions!$B$7</f>
        <v/>
      </c>
      <c r="I6" s="41">
        <f>I5*Assumptions!$B$7</f>
        <v/>
      </c>
      <c r="J6" s="41">
        <f>J5*Assumptions!$B$7</f>
        <v/>
      </c>
      <c r="K6" s="41">
        <f>K5*Assumptions!$B$7</f>
        <v/>
      </c>
      <c r="L6" s="41">
        <f>L5*Assumptions!$B$7</f>
        <v/>
      </c>
      <c r="M6" s="41">
        <f>M5*Assumptions!$B$7</f>
        <v/>
      </c>
      <c r="N6" s="42">
        <f>SUM(B6:M6)</f>
        <v/>
      </c>
    </row>
    <row r="8" ht="15" customHeight="1" s="24">
      <c r="A8" s="40" t="inlineStr">
        <is>
          <t>REVENUE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</row>
    <row r="9" ht="15" customHeight="1" s="24">
      <c r="A9" s="23" t="inlineStr">
        <is>
          <t>Individual donations</t>
        </is>
      </c>
      <c r="B9" s="43">
        <f>Assumptions!$B$33+(Assumptions!$B$34-Assumptions!$B$33)/11*(1-1)</f>
        <v/>
      </c>
      <c r="C9" s="43">
        <f>Assumptions!$B$33+(Assumptions!$B$34-Assumptions!$B$33)/11*(2-1)</f>
        <v/>
      </c>
      <c r="D9" s="43">
        <f>Assumptions!$B$33+(Assumptions!$B$34-Assumptions!$B$33)/11*(3-1)</f>
        <v/>
      </c>
      <c r="E9" s="43">
        <f>Assumptions!$B$33+(Assumptions!$B$34-Assumptions!$B$33)/11*(4-1)</f>
        <v/>
      </c>
      <c r="F9" s="43">
        <f>Assumptions!$B$33+(Assumptions!$B$34-Assumptions!$B$33)/11*(5-1)</f>
        <v/>
      </c>
      <c r="G9" s="43">
        <f>Assumptions!$B$33+(Assumptions!$B$34-Assumptions!$B$33)/11*(6-1)</f>
        <v/>
      </c>
      <c r="H9" s="43">
        <f>Assumptions!$B$33+(Assumptions!$B$34-Assumptions!$B$33)/11*(7-1)</f>
        <v/>
      </c>
      <c r="I9" s="43">
        <f>Assumptions!$B$33+(Assumptions!$B$34-Assumptions!$B$33)/11*(8-1)</f>
        <v/>
      </c>
      <c r="J9" s="43">
        <f>Assumptions!$B$33+(Assumptions!$B$34-Assumptions!$B$33)/11*(9-1)</f>
        <v/>
      </c>
      <c r="K9" s="43">
        <f>Assumptions!$B$33+(Assumptions!$B$34-Assumptions!$B$33)/11*(10-1)</f>
        <v/>
      </c>
      <c r="L9" s="43">
        <f>Assumptions!$B$33+(Assumptions!$B$34-Assumptions!$B$33)/11*(11-1)</f>
        <v/>
      </c>
      <c r="M9" s="43">
        <f>Assumptions!$B$33+(Assumptions!$B$34-Assumptions!$B$33)/11*(12-1)</f>
        <v/>
      </c>
      <c r="N9" s="35">
        <f>SUM(B9:M9)</f>
        <v/>
      </c>
    </row>
    <row r="10" ht="15" customHeight="1" s="24">
      <c r="A10" s="23" t="inlineStr">
        <is>
          <t>Sponsorship revenue</t>
        </is>
      </c>
      <c r="B10" s="43">
        <f>B6*Assumptions!$B$35</f>
        <v/>
      </c>
      <c r="C10" s="43">
        <f>C6*Assumptions!$B$35</f>
        <v/>
      </c>
      <c r="D10" s="43">
        <f>D6*Assumptions!$B$35</f>
        <v/>
      </c>
      <c r="E10" s="43">
        <f>E6*Assumptions!$B$35</f>
        <v/>
      </c>
      <c r="F10" s="43">
        <f>F6*Assumptions!$B$35</f>
        <v/>
      </c>
      <c r="G10" s="43">
        <f>G6*Assumptions!$B$35</f>
        <v/>
      </c>
      <c r="H10" s="43">
        <f>H6*Assumptions!$B$35</f>
        <v/>
      </c>
      <c r="I10" s="43">
        <f>I6*Assumptions!$B$35</f>
        <v/>
      </c>
      <c r="J10" s="43">
        <f>J6*Assumptions!$B$35</f>
        <v/>
      </c>
      <c r="K10" s="43">
        <f>K6*Assumptions!$B$35</f>
        <v/>
      </c>
      <c r="L10" s="43">
        <f>L6*Assumptions!$B$35</f>
        <v/>
      </c>
      <c r="M10" s="43">
        <f>M6*Assumptions!$B$35</f>
        <v/>
      </c>
      <c r="N10" s="35">
        <f>SUM(B10:M10)</f>
        <v/>
      </c>
    </row>
    <row r="11" ht="15" customHeight="1" s="24">
      <c r="A11" s="23" t="inlineStr">
        <is>
          <t>Grant revenue</t>
        </is>
      </c>
      <c r="B11" s="44" t="n">
        <v>0</v>
      </c>
      <c r="C11" s="44" t="n">
        <v>0</v>
      </c>
      <c r="D11" s="44" t="n">
        <v>0</v>
      </c>
      <c r="E11" s="44" t="n">
        <v>0</v>
      </c>
      <c r="F11" s="44" t="n">
        <v>0</v>
      </c>
      <c r="G11" s="43">
        <f>Assumptions!$B$36</f>
        <v/>
      </c>
      <c r="H11" s="44" t="n">
        <v>0</v>
      </c>
      <c r="I11" s="44" t="n">
        <v>0</v>
      </c>
      <c r="J11" s="44" t="n">
        <v>0</v>
      </c>
      <c r="K11" s="44" t="n">
        <v>0</v>
      </c>
      <c r="L11" s="44" t="n">
        <v>0</v>
      </c>
      <c r="M11" s="43">
        <f>Assumptions!$B$37</f>
        <v/>
      </c>
      <c r="N11" s="35">
        <f>SUM(B11:M11)</f>
        <v/>
      </c>
    </row>
    <row r="12" ht="15" customHeight="1" s="24">
      <c r="A12" s="23" t="inlineStr">
        <is>
          <t>Events / merchandise (from Month 6)</t>
        </is>
      </c>
      <c r="B12" s="44" t="n">
        <v>0</v>
      </c>
      <c r="C12" s="44" t="n">
        <v>0</v>
      </c>
      <c r="D12" s="44" t="n">
        <v>0</v>
      </c>
      <c r="E12" s="44" t="n">
        <v>0</v>
      </c>
      <c r="F12" s="44" t="n">
        <v>0</v>
      </c>
      <c r="G12" s="43">
        <f>Assumptions!$B$38</f>
        <v/>
      </c>
      <c r="H12" s="43">
        <f>Assumptions!$B$38</f>
        <v/>
      </c>
      <c r="I12" s="43">
        <f>Assumptions!$B$38</f>
        <v/>
      </c>
      <c r="J12" s="43">
        <f>Assumptions!$B$38</f>
        <v/>
      </c>
      <c r="K12" s="43">
        <f>Assumptions!$B$38</f>
        <v/>
      </c>
      <c r="L12" s="43">
        <f>Assumptions!$B$38</f>
        <v/>
      </c>
      <c r="M12" s="43">
        <f>Assumptions!$B$38</f>
        <v/>
      </c>
      <c r="N12" s="35">
        <f>SUM(B12:M12)</f>
        <v/>
      </c>
    </row>
    <row r="13" ht="15" customHeight="1" s="24">
      <c r="A13" s="34" t="inlineStr">
        <is>
          <t>Total revenue</t>
        </is>
      </c>
      <c r="B13" s="35">
        <f>SUM(B9:B12)</f>
        <v/>
      </c>
      <c r="C13" s="35">
        <f>SUM(C9:C12)</f>
        <v/>
      </c>
      <c r="D13" s="35">
        <f>SUM(D9:D12)</f>
        <v/>
      </c>
      <c r="E13" s="35">
        <f>SUM(E9:E12)</f>
        <v/>
      </c>
      <c r="F13" s="35">
        <f>SUM(F9:F12)</f>
        <v/>
      </c>
      <c r="G13" s="35">
        <f>SUM(G9:G12)</f>
        <v/>
      </c>
      <c r="H13" s="35">
        <f>SUM(H9:H12)</f>
        <v/>
      </c>
      <c r="I13" s="35">
        <f>SUM(I9:I12)</f>
        <v/>
      </c>
      <c r="J13" s="35">
        <f>SUM(J9:J12)</f>
        <v/>
      </c>
      <c r="K13" s="35">
        <f>SUM(K9:K12)</f>
        <v/>
      </c>
      <c r="L13" s="35">
        <f>SUM(L9:L12)</f>
        <v/>
      </c>
      <c r="M13" s="35">
        <f>SUM(M9:M12)</f>
        <v/>
      </c>
      <c r="N13" s="35">
        <f>SUM(B13:M13)</f>
        <v/>
      </c>
    </row>
    <row r="15" ht="15" customHeight="1" s="24">
      <c r="A15" s="40" t="inlineStr">
        <is>
          <t>COSTS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</row>
    <row r="16" ht="15" customHeight="1" s="24">
      <c r="A16" s="23" t="inlineStr">
        <is>
          <t>Panel variable cost (concrete, materials, artist, permit)</t>
        </is>
      </c>
      <c r="B16" s="43">
        <f>B5*Assumptions!$B$16</f>
        <v/>
      </c>
      <c r="C16" s="43">
        <f>C5*Assumptions!$B$16</f>
        <v/>
      </c>
      <c r="D16" s="43">
        <f>D5*Assumptions!$B$16</f>
        <v/>
      </c>
      <c r="E16" s="43">
        <f>E5*Assumptions!$B$16</f>
        <v/>
      </c>
      <c r="F16" s="43">
        <f>F5*Assumptions!$B$16</f>
        <v/>
      </c>
      <c r="G16" s="43">
        <f>G5*Assumptions!$B$16</f>
        <v/>
      </c>
      <c r="H16" s="43">
        <f>H5*Assumptions!$B$16</f>
        <v/>
      </c>
      <c r="I16" s="43">
        <f>I5*Assumptions!$B$16</f>
        <v/>
      </c>
      <c r="J16" s="43">
        <f>J5*Assumptions!$B$16</f>
        <v/>
      </c>
      <c r="K16" s="43">
        <f>K5*Assumptions!$B$16</f>
        <v/>
      </c>
      <c r="L16" s="43">
        <f>L5*Assumptions!$B$16</f>
        <v/>
      </c>
      <c r="M16" s="43">
        <f>M5*Assumptions!$B$16</f>
        <v/>
      </c>
      <c r="N16" s="35">
        <f>SUM(B16:M16)</f>
        <v/>
      </c>
    </row>
    <row r="17" ht="15" customHeight="1" s="24">
      <c r="A17" s="23" t="inlineStr">
        <is>
          <t>Fixed operating cost</t>
        </is>
      </c>
      <c r="B17" s="43">
        <f>Assumptions!$B$24</f>
        <v/>
      </c>
      <c r="C17" s="43">
        <f>Assumptions!$B$24</f>
        <v/>
      </c>
      <c r="D17" s="43">
        <f>Assumptions!$B$24</f>
        <v/>
      </c>
      <c r="E17" s="43">
        <f>Assumptions!$B$24</f>
        <v/>
      </c>
      <c r="F17" s="43">
        <f>Assumptions!$B$24</f>
        <v/>
      </c>
      <c r="G17" s="43">
        <f>Assumptions!$B$24</f>
        <v/>
      </c>
      <c r="H17" s="43">
        <f>Assumptions!$B$24</f>
        <v/>
      </c>
      <c r="I17" s="43">
        <f>Assumptions!$B$24</f>
        <v/>
      </c>
      <c r="J17" s="43">
        <f>Assumptions!$B$24</f>
        <v/>
      </c>
      <c r="K17" s="43">
        <f>Assumptions!$B$24</f>
        <v/>
      </c>
      <c r="L17" s="43">
        <f>Assumptions!$B$24</f>
        <v/>
      </c>
      <c r="M17" s="43">
        <f>Assumptions!$B$24</f>
        <v/>
      </c>
      <c r="N17" s="35">
        <f>SUM(B17:M17)</f>
        <v/>
      </c>
    </row>
    <row r="18" ht="15" customHeight="1" s="24">
      <c r="A18" s="23" t="inlineStr">
        <is>
          <t>One-time startup cost (Month 1 only)</t>
        </is>
      </c>
      <c r="B18" s="43">
        <f>Assumptions!$B$30</f>
        <v/>
      </c>
      <c r="C18" s="44" t="n">
        <v>0</v>
      </c>
      <c r="D18" s="44" t="n">
        <v>0</v>
      </c>
      <c r="E18" s="44" t="n">
        <v>0</v>
      </c>
      <c r="F18" s="44" t="n">
        <v>0</v>
      </c>
      <c r="G18" s="44" t="n">
        <v>0</v>
      </c>
      <c r="H18" s="44" t="n">
        <v>0</v>
      </c>
      <c r="I18" s="44" t="n">
        <v>0</v>
      </c>
      <c r="J18" s="44" t="n">
        <v>0</v>
      </c>
      <c r="K18" s="44" t="n">
        <v>0</v>
      </c>
      <c r="L18" s="44" t="n">
        <v>0</v>
      </c>
      <c r="M18" s="44" t="n">
        <v>0</v>
      </c>
      <c r="N18" s="35">
        <f>SUM(B18:M18)</f>
        <v/>
      </c>
    </row>
    <row r="19" ht="15" customHeight="1" s="24">
      <c r="A19" s="34" t="inlineStr">
        <is>
          <t>Total costs</t>
        </is>
      </c>
      <c r="B19" s="35">
        <f>SUM(B16:B18)</f>
        <v/>
      </c>
      <c r="C19" s="35">
        <f>SUM(C16:C18)</f>
        <v/>
      </c>
      <c r="D19" s="35">
        <f>SUM(D16:D18)</f>
        <v/>
      </c>
      <c r="E19" s="35">
        <f>SUM(E16:E18)</f>
        <v/>
      </c>
      <c r="F19" s="35">
        <f>SUM(F16:F18)</f>
        <v/>
      </c>
      <c r="G19" s="35">
        <f>SUM(G16:G18)</f>
        <v/>
      </c>
      <c r="H19" s="35">
        <f>SUM(H16:H18)</f>
        <v/>
      </c>
      <c r="I19" s="35">
        <f>SUM(I16:I18)</f>
        <v/>
      </c>
      <c r="J19" s="35">
        <f>SUM(J16:J18)</f>
        <v/>
      </c>
      <c r="K19" s="35">
        <f>SUM(K16:K18)</f>
        <v/>
      </c>
      <c r="L19" s="35">
        <f>SUM(L16:L18)</f>
        <v/>
      </c>
      <c r="M19" s="35">
        <f>SUM(M16:M18)</f>
        <v/>
      </c>
      <c r="N19" s="35">
        <f>SUM(B19:M19)</f>
        <v/>
      </c>
    </row>
    <row r="21" ht="15" customHeight="1" s="24">
      <c r="A21" s="40" t="inlineStr">
        <is>
          <t>NET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</row>
    <row r="22" ht="15" customHeight="1" s="24">
      <c r="A22" s="34" t="inlineStr">
        <is>
          <t>Net monthly cash flow</t>
        </is>
      </c>
      <c r="B22" s="35">
        <f>B13-B19</f>
        <v/>
      </c>
      <c r="C22" s="35">
        <f>C13-C19</f>
        <v/>
      </c>
      <c r="D22" s="35">
        <f>D13-D19</f>
        <v/>
      </c>
      <c r="E22" s="35">
        <f>E13-E19</f>
        <v/>
      </c>
      <c r="F22" s="35">
        <f>F13-F19</f>
        <v/>
      </c>
      <c r="G22" s="35">
        <f>G13-G19</f>
        <v/>
      </c>
      <c r="H22" s="35">
        <f>H13-H19</f>
        <v/>
      </c>
      <c r="I22" s="35">
        <f>I13-I19</f>
        <v/>
      </c>
      <c r="J22" s="35">
        <f>J13-J19</f>
        <v/>
      </c>
      <c r="K22" s="35">
        <f>K13-K19</f>
        <v/>
      </c>
      <c r="L22" s="35">
        <f>L13-L19</f>
        <v/>
      </c>
      <c r="M22" s="35">
        <f>M13-M19</f>
        <v/>
      </c>
      <c r="N22" s="35">
        <f>SUM(B22:M22)</f>
        <v/>
      </c>
    </row>
    <row r="23" ht="15" customHeight="1" s="24">
      <c r="A23" s="34" t="inlineStr">
        <is>
          <t>Cumulative cash position</t>
        </is>
      </c>
      <c r="B23" s="35">
        <f>B22</f>
        <v/>
      </c>
      <c r="C23" s="35">
        <f>B23+C22</f>
        <v/>
      </c>
      <c r="D23" s="35">
        <f>C23+D22</f>
        <v/>
      </c>
      <c r="E23" s="35">
        <f>D23+E22</f>
        <v/>
      </c>
      <c r="F23" s="35">
        <f>E23+F22</f>
        <v/>
      </c>
      <c r="G23" s="35">
        <f>F23+G22</f>
        <v/>
      </c>
      <c r="H23" s="35">
        <f>G23+H22</f>
        <v/>
      </c>
      <c r="I23" s="35">
        <f>H23+I22</f>
        <v/>
      </c>
      <c r="J23" s="35">
        <f>I23+J22</f>
        <v/>
      </c>
      <c r="K23" s="35">
        <f>J23+K22</f>
        <v/>
      </c>
      <c r="L23" s="35">
        <f>K23+L22</f>
        <v/>
      </c>
      <c r="M23" s="35">
        <f>L23+M22</f>
        <v/>
      </c>
    </row>
    <row r="25" ht="15" customHeight="1" s="24">
      <c r="A25" s="26" t="inlineStr">
        <is>
          <t>All month columns pull from the Assumptions tab. Change any blue/yellow cell there and this proforma recalculates.</t>
        </is>
      </c>
    </row>
  </sheetData>
  <mergeCells count="1"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3" min="1" max="1"/>
    <col width="16" customWidth="1" style="23" min="2" max="4"/>
  </cols>
  <sheetData>
    <row r="1" ht="16.15" customHeight="1" s="24">
      <c r="A1" s="38" t="inlineStr">
        <is>
          <t>Sidewalk Mosaic Project — 3-Year Annual Summary</t>
        </is>
      </c>
    </row>
    <row r="3" ht="15" customHeight="1" s="24">
      <c r="A3" s="39" t="n"/>
      <c r="B3" s="39" t="inlineStr">
        <is>
          <t>Year 1</t>
        </is>
      </c>
      <c r="C3" s="39" t="inlineStr">
        <is>
          <t>Year 2</t>
        </is>
      </c>
      <c r="D3" s="39" t="inlineStr">
        <is>
          <t>Year 3</t>
        </is>
      </c>
    </row>
    <row r="4" ht="15" customHeight="1" s="24">
      <c r="A4" s="40" t="inlineStr">
        <is>
          <t>PROGRAM VOLUME</t>
        </is>
      </c>
      <c r="B4" s="28" t="n"/>
      <c r="C4" s="28" t="n"/>
      <c r="D4" s="28" t="n"/>
    </row>
    <row r="5" ht="15" customHeight="1" s="24">
      <c r="A5" s="23" t="inlineStr">
        <is>
          <t>Total panels completed</t>
        </is>
      </c>
      <c r="B5" s="41">
        <f>'Monthly Proforma - Year 1'!N5</f>
        <v/>
      </c>
      <c r="C5" s="45">
        <f>B5*(1+Assumptions!$B$8)</f>
        <v/>
      </c>
      <c r="D5" s="45">
        <f>C5*(1+Assumptions!$B$9)</f>
        <v/>
      </c>
    </row>
    <row r="7" ht="15" customHeight="1" s="24">
      <c r="A7" s="40" t="inlineStr">
        <is>
          <t>REVENUE AND COSTS</t>
        </is>
      </c>
      <c r="B7" s="28" t="n"/>
      <c r="C7" s="28" t="n"/>
      <c r="D7" s="28" t="n"/>
    </row>
    <row r="8" ht="15" customHeight="1" s="24">
      <c r="A8" s="23" t="inlineStr">
        <is>
          <t>Total revenue</t>
        </is>
      </c>
      <c r="B8" s="43">
        <f>'Monthly Proforma - Year 1'!N13</f>
        <v/>
      </c>
      <c r="C8" s="44">
        <f>B8*(1+Assumptions!$B$8)</f>
        <v/>
      </c>
      <c r="D8" s="44">
        <f>C8*(1+Assumptions!$B$9)</f>
        <v/>
      </c>
    </row>
    <row r="9" ht="15" customHeight="1" s="24">
      <c r="A9" s="23" t="inlineStr">
        <is>
          <t>Variable panel costs</t>
        </is>
      </c>
      <c r="B9" s="43">
        <f>'Monthly Proforma - Year 1'!N16</f>
        <v/>
      </c>
      <c r="C9" s="44">
        <f>B9*(1+Assumptions!$B$8)</f>
        <v/>
      </c>
      <c r="D9" s="44">
        <f>C9*(1+Assumptions!$B$9)</f>
        <v/>
      </c>
    </row>
    <row r="10" ht="15" customHeight="1" s="24">
      <c r="A10" s="23" t="inlineStr">
        <is>
          <t>Fixed operating costs</t>
        </is>
      </c>
      <c r="B10" s="43">
        <f>'Monthly Proforma - Year 1'!N17</f>
        <v/>
      </c>
      <c r="C10" s="44">
        <f>B10*(1+Assumptions!$B$42)</f>
        <v/>
      </c>
      <c r="D10" s="44">
        <f>C10*(1+Assumptions!$B$42)</f>
        <v/>
      </c>
    </row>
    <row r="11" ht="15" customHeight="1" s="24">
      <c r="A11" s="23" t="inlineStr">
        <is>
          <t>One-time startup costs</t>
        </is>
      </c>
      <c r="B11" s="43">
        <f>'Monthly Proforma - Year 1'!N18</f>
        <v/>
      </c>
      <c r="C11" s="44" t="n">
        <v>0</v>
      </c>
      <c r="D11" s="44" t="n">
        <v>0</v>
      </c>
    </row>
    <row r="12" ht="15" customHeight="1" s="24">
      <c r="A12" s="34" t="inlineStr">
        <is>
          <t>Total costs</t>
        </is>
      </c>
      <c r="B12" s="35">
        <f>SUM(B9:B11)</f>
        <v/>
      </c>
      <c r="C12" s="35">
        <f>SUM(C9:C11)</f>
        <v/>
      </c>
      <c r="D12" s="35">
        <f>SUM(D9:D11)</f>
        <v/>
      </c>
    </row>
    <row r="14" ht="15" customHeight="1" s="24">
      <c r="A14" s="40" t="inlineStr">
        <is>
          <t>NET</t>
        </is>
      </c>
      <c r="B14" s="28" t="n"/>
      <c r="C14" s="28" t="n"/>
      <c r="D14" s="28" t="n"/>
    </row>
    <row r="15" ht="15" customHeight="1" s="24">
      <c r="A15" s="34" t="inlineStr">
        <is>
          <t>Net income</t>
        </is>
      </c>
      <c r="B15" s="35">
        <f>B8-B12</f>
        <v/>
      </c>
      <c r="C15" s="35">
        <f>C8-C12</f>
        <v/>
      </c>
      <c r="D15" s="35">
        <f>D8-D12</f>
        <v/>
      </c>
    </row>
    <row r="16" ht="15" customHeight="1" s="24">
      <c r="A16" s="34" t="inlineStr">
        <is>
          <t>Cumulative cash position</t>
        </is>
      </c>
      <c r="B16" s="35">
        <f>B15</f>
        <v/>
      </c>
      <c r="C16" s="35">
        <f>B16+C15</f>
        <v/>
      </c>
      <c r="D16" s="35">
        <f>C16+D15</f>
        <v/>
      </c>
    </row>
    <row r="18" ht="30" customHeight="1" s="24">
      <c r="A18" s="26" t="inlineStr">
        <is>
          <t>Year 1 pulls directly from the monthly tab. Years 2 and 3 are simplified: revenue and variable costs scale with panel growth, fixed costs grow by the inflation assumption. Adjust growth and inflation assumptions on the Assumptions tab.</t>
        </is>
      </c>
    </row>
  </sheetData>
  <mergeCells count="1">
    <mergeCell ref="A18:D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40" customWidth="1" style="24" min="1" max="1"/>
    <col width="14" customWidth="1" style="24" min="2" max="2"/>
    <col width="14" customWidth="1" style="24" min="3" max="3"/>
    <col width="14" customWidth="1" style="24" min="4" max="4"/>
    <col width="14" customWidth="1" style="24" min="5" max="5"/>
    <col width="14" customWidth="1" style="24" min="6" max="6"/>
    <col width="14" customWidth="1" style="24" min="7" max="7"/>
    <col width="14" customWidth="1" style="24" min="8" max="8"/>
    <col width="14" customWidth="1" style="24" min="9" max="9"/>
    <col width="14" customWidth="1" style="24" min="10" max="10"/>
    <col width="14" customWidth="1" style="24" min="11" max="11"/>
    <col width="14" customWidth="1" style="24" min="12" max="12"/>
    <col width="14" customWidth="1" style="24" min="13" max="13"/>
    <col width="14" customWidth="1" style="24" min="14" max="14"/>
  </cols>
  <sheetData>
    <row r="1">
      <c r="A1" s="46" t="inlineStr">
        <is>
          <t>Sidewalk Stories LA — Pilot Scenario Year 1 (10 Panels)</t>
        </is>
      </c>
    </row>
    <row r="3">
      <c r="A3" s="47" t="inlineStr"/>
      <c r="B3" s="47" t="inlineStr">
        <is>
          <t>Month 1</t>
        </is>
      </c>
      <c r="C3" s="47" t="inlineStr">
        <is>
          <t>Month 2</t>
        </is>
      </c>
      <c r="D3" s="47" t="inlineStr">
        <is>
          <t>Month 3</t>
        </is>
      </c>
      <c r="E3" s="47" t="inlineStr">
        <is>
          <t>Month 4</t>
        </is>
      </c>
      <c r="F3" s="47" t="inlineStr">
        <is>
          <t>Month 5</t>
        </is>
      </c>
      <c r="G3" s="47" t="inlineStr">
        <is>
          <t>Month 6</t>
        </is>
      </c>
      <c r="H3" s="47" t="inlineStr">
        <is>
          <t>Month 7</t>
        </is>
      </c>
      <c r="I3" s="47" t="inlineStr">
        <is>
          <t>Month 8</t>
        </is>
      </c>
      <c r="J3" s="47" t="inlineStr">
        <is>
          <t>Month 9</t>
        </is>
      </c>
      <c r="K3" s="47" t="inlineStr">
        <is>
          <t>Month 10</t>
        </is>
      </c>
      <c r="L3" s="47" t="inlineStr">
        <is>
          <t>Month 11</t>
        </is>
      </c>
      <c r="M3" s="47" t="inlineStr">
        <is>
          <t>Month 12</t>
        </is>
      </c>
      <c r="N3" s="47" t="inlineStr">
        <is>
          <t>Year 1 Total</t>
        </is>
      </c>
    </row>
    <row r="4">
      <c r="A4" s="48" t="inlineStr">
        <is>
          <t>PROGRAM VOLUME</t>
        </is>
      </c>
    </row>
    <row r="5">
      <c r="A5" t="inlineStr">
        <is>
          <t>Panels completed this month</t>
        </is>
      </c>
      <c r="B5" s="49" t="n">
        <v>1</v>
      </c>
      <c r="C5" s="49" t="n">
        <v>1</v>
      </c>
      <c r="D5" s="49" t="n">
        <v>1</v>
      </c>
      <c r="E5" s="49" t="n">
        <v>1</v>
      </c>
      <c r="F5" s="49" t="n">
        <v>1</v>
      </c>
      <c r="G5" s="49" t="n">
        <v>1</v>
      </c>
      <c r="H5" s="49" t="n">
        <v>1</v>
      </c>
      <c r="I5" s="49" t="n">
        <v>1</v>
      </c>
      <c r="J5" s="49" t="n">
        <v>1</v>
      </c>
      <c r="K5" s="49" t="n">
        <v>1</v>
      </c>
      <c r="L5" s="49" t="n">
        <v>0</v>
      </c>
      <c r="M5" s="49" t="n">
        <v>0</v>
      </c>
      <c r="N5" s="49">
        <f>SUM(B5:M5)</f>
        <v/>
      </c>
    </row>
    <row r="6">
      <c r="A6" t="inlineStr">
        <is>
          <t>Of which, sponsored panels (50%)</t>
        </is>
      </c>
      <c r="B6" s="49" t="n">
        <v>0.5</v>
      </c>
      <c r="C6" s="49" t="n">
        <v>0.5</v>
      </c>
      <c r="D6" s="49" t="n">
        <v>0.5</v>
      </c>
      <c r="E6" s="49" t="n">
        <v>0.5</v>
      </c>
      <c r="F6" s="49" t="n">
        <v>0.5</v>
      </c>
      <c r="G6" s="49" t="n">
        <v>0.5</v>
      </c>
      <c r="H6" s="49" t="n">
        <v>0.5</v>
      </c>
      <c r="I6" s="49" t="n">
        <v>0.5</v>
      </c>
      <c r="J6" s="49" t="n">
        <v>0.5</v>
      </c>
      <c r="K6" s="49" t="n">
        <v>0.5</v>
      </c>
      <c r="L6" s="49" t="n">
        <v>0</v>
      </c>
      <c r="M6" s="49" t="n">
        <v>0</v>
      </c>
      <c r="N6" s="49">
        <f>SUM(B6:M6)</f>
        <v/>
      </c>
    </row>
    <row r="7"/>
    <row r="8">
      <c r="A8" s="48" t="inlineStr">
        <is>
          <t>REVENUE</t>
        </is>
      </c>
    </row>
    <row r="9">
      <c r="A9" t="inlineStr">
        <is>
          <t>Individual donations</t>
        </is>
      </c>
      <c r="B9" s="49" t="n">
        <v>250</v>
      </c>
      <c r="C9" s="49" t="n">
        <v>300</v>
      </c>
      <c r="D9" s="49" t="n">
        <v>350</v>
      </c>
      <c r="E9" s="49" t="n">
        <v>400</v>
      </c>
      <c r="F9" s="49" t="n">
        <v>450</v>
      </c>
      <c r="G9" s="49" t="n">
        <v>500</v>
      </c>
      <c r="H9" s="49" t="n">
        <v>550</v>
      </c>
      <c r="I9" s="49" t="n">
        <v>600</v>
      </c>
      <c r="J9" s="49" t="n">
        <v>650</v>
      </c>
      <c r="K9" s="49" t="n">
        <v>700</v>
      </c>
      <c r="L9" s="49" t="n">
        <v>750</v>
      </c>
      <c r="M9" s="49" t="n">
        <v>750</v>
      </c>
      <c r="N9" s="49">
        <f>SUM(B9:M9)</f>
        <v/>
      </c>
    </row>
    <row r="10">
      <c r="A10" t="inlineStr">
        <is>
          <t>Sponsorship revenue ($750/panel)</t>
        </is>
      </c>
      <c r="B10" s="49" t="n">
        <v>375</v>
      </c>
      <c r="C10" s="49" t="n">
        <v>375</v>
      </c>
      <c r="D10" s="49" t="n">
        <v>375</v>
      </c>
      <c r="E10" s="49" t="n">
        <v>375</v>
      </c>
      <c r="F10" s="49" t="n">
        <v>375</v>
      </c>
      <c r="G10" s="49" t="n">
        <v>375</v>
      </c>
      <c r="H10" s="49" t="n">
        <v>375</v>
      </c>
      <c r="I10" s="49" t="n">
        <v>375</v>
      </c>
      <c r="J10" s="49" t="n">
        <v>375</v>
      </c>
      <c r="K10" s="49" t="n">
        <v>375</v>
      </c>
      <c r="L10" s="49" t="n">
        <v>0</v>
      </c>
      <c r="M10" s="49" t="n">
        <v>0</v>
      </c>
      <c r="N10" s="49">
        <f>SUM(B10:M10)</f>
        <v/>
      </c>
    </row>
    <row r="11">
      <c r="A11" t="inlineStr">
        <is>
          <t>Grant revenue</t>
        </is>
      </c>
      <c r="B11" s="49" t="n">
        <v>0</v>
      </c>
      <c r="C11" s="49" t="n">
        <v>0</v>
      </c>
      <c r="D11" s="49" t="n">
        <v>0</v>
      </c>
      <c r="E11" s="49" t="n">
        <v>5000</v>
      </c>
      <c r="F11" s="49" t="n">
        <v>0</v>
      </c>
      <c r="G11" s="49" t="n">
        <v>0</v>
      </c>
      <c r="H11" s="49" t="n">
        <v>0</v>
      </c>
      <c r="I11" s="49" t="n">
        <v>0</v>
      </c>
      <c r="J11" s="49" t="n">
        <v>0</v>
      </c>
      <c r="K11" s="49" t="n">
        <v>0</v>
      </c>
      <c r="L11" s="49" t="n">
        <v>0</v>
      </c>
      <c r="M11" s="49" t="n">
        <v>10000</v>
      </c>
      <c r="N11" s="49">
        <f>SUM(B11:M11)</f>
        <v/>
      </c>
    </row>
    <row r="12">
      <c r="A12" t="inlineStr">
        <is>
          <t>Events / merchandise</t>
        </is>
      </c>
      <c r="B12" s="49" t="n">
        <v>0</v>
      </c>
      <c r="C12" s="49" t="n">
        <v>0</v>
      </c>
      <c r="D12" s="49" t="n">
        <v>0</v>
      </c>
      <c r="E12" s="49" t="n">
        <v>0</v>
      </c>
      <c r="F12" s="49" t="n">
        <v>0</v>
      </c>
      <c r="G12" s="49" t="n">
        <v>250</v>
      </c>
      <c r="H12" s="49" t="n">
        <v>250</v>
      </c>
      <c r="I12" s="49" t="n">
        <v>250</v>
      </c>
      <c r="J12" s="49" t="n">
        <v>250</v>
      </c>
      <c r="K12" s="49" t="n">
        <v>250</v>
      </c>
      <c r="L12" s="49" t="n">
        <v>250</v>
      </c>
      <c r="M12" s="49" t="n">
        <v>250</v>
      </c>
      <c r="N12" s="49">
        <f>SUM(B12:M12)</f>
        <v/>
      </c>
    </row>
    <row r="13">
      <c r="A13" s="48" t="inlineStr">
        <is>
          <t>Total revenue</t>
        </is>
      </c>
      <c r="B13" s="49">
        <f>SUM(B9:B12)</f>
        <v/>
      </c>
      <c r="C13" s="49">
        <f>SUM(C9:C12)</f>
        <v/>
      </c>
      <c r="D13" s="49">
        <f>SUM(D9:D12)</f>
        <v/>
      </c>
      <c r="E13" s="49">
        <f>SUM(E9:E12)</f>
        <v/>
      </c>
      <c r="F13" s="49">
        <f>SUM(F9:F12)</f>
        <v/>
      </c>
      <c r="G13" s="49">
        <f>SUM(G9:G12)</f>
        <v/>
      </c>
      <c r="H13" s="49">
        <f>SUM(H9:H12)</f>
        <v/>
      </c>
      <c r="I13" s="49">
        <f>SUM(I9:I12)</f>
        <v/>
      </c>
      <c r="J13" s="49">
        <f>SUM(J9:J12)</f>
        <v/>
      </c>
      <c r="K13" s="49">
        <f>SUM(K9:K12)</f>
        <v/>
      </c>
      <c r="L13" s="49">
        <f>SUM(L9:L12)</f>
        <v/>
      </c>
      <c r="M13" s="49">
        <f>SUM(M9:M12)</f>
        <v/>
      </c>
      <c r="N13" s="49">
        <f>SUM(N9:N12)</f>
        <v/>
      </c>
    </row>
    <row r="14"/>
    <row r="15">
      <c r="A15" s="48" t="inlineStr">
        <is>
          <t>COSTS</t>
        </is>
      </c>
    </row>
    <row r="16">
      <c r="A16" t="inlineStr">
        <is>
          <t>Panel variable cost ($2,700/panel)</t>
        </is>
      </c>
      <c r="B16" s="49" t="n">
        <v>2700</v>
      </c>
      <c r="C16" s="49" t="n">
        <v>2700</v>
      </c>
      <c r="D16" s="49" t="n">
        <v>2700</v>
      </c>
      <c r="E16" s="49" t="n">
        <v>2700</v>
      </c>
      <c r="F16" s="49" t="n">
        <v>2700</v>
      </c>
      <c r="G16" s="49" t="n">
        <v>2700</v>
      </c>
      <c r="H16" s="49" t="n">
        <v>2700</v>
      </c>
      <c r="I16" s="49" t="n">
        <v>2700</v>
      </c>
      <c r="J16" s="49" t="n">
        <v>2700</v>
      </c>
      <c r="K16" s="49" t="n">
        <v>2700</v>
      </c>
      <c r="L16" s="49" t="n">
        <v>0</v>
      </c>
      <c r="M16" s="49" t="n">
        <v>0</v>
      </c>
      <c r="N16" s="49">
        <f>SUM(B16:M16)</f>
        <v/>
      </c>
    </row>
    <row r="17">
      <c r="A17" t="inlineStr">
        <is>
          <t>Fixed operating cost</t>
        </is>
      </c>
      <c r="B17" s="49" t="n">
        <v>850</v>
      </c>
      <c r="C17" s="49" t="n">
        <v>850</v>
      </c>
      <c r="D17" s="49" t="n">
        <v>850</v>
      </c>
      <c r="E17" s="49" t="n">
        <v>850</v>
      </c>
      <c r="F17" s="49" t="n">
        <v>850</v>
      </c>
      <c r="G17" s="49" t="n">
        <v>850</v>
      </c>
      <c r="H17" s="49" t="n">
        <v>850</v>
      </c>
      <c r="I17" s="49" t="n">
        <v>850</v>
      </c>
      <c r="J17" s="49" t="n">
        <v>850</v>
      </c>
      <c r="K17" s="49" t="n">
        <v>850</v>
      </c>
      <c r="L17" s="49" t="n">
        <v>850</v>
      </c>
      <c r="M17" s="49" t="n">
        <v>850</v>
      </c>
      <c r="N17" s="49">
        <f>SUM(B17:M17)</f>
        <v/>
      </c>
    </row>
    <row r="18">
      <c r="A18" t="inlineStr">
        <is>
          <t>One-time startup cost (Month 1 only)</t>
        </is>
      </c>
      <c r="B18" s="49" t="n">
        <v>1500</v>
      </c>
      <c r="C18" s="49" t="n">
        <v>0</v>
      </c>
      <c r="D18" s="49" t="n">
        <v>0</v>
      </c>
      <c r="E18" s="49" t="n">
        <v>0</v>
      </c>
      <c r="F18" s="49" t="n">
        <v>0</v>
      </c>
      <c r="G18" s="49" t="n">
        <v>0</v>
      </c>
      <c r="H18" s="49" t="n">
        <v>0</v>
      </c>
      <c r="I18" s="49" t="n">
        <v>0</v>
      </c>
      <c r="J18" s="49" t="n">
        <v>0</v>
      </c>
      <c r="K18" s="49" t="n">
        <v>0</v>
      </c>
      <c r="L18" s="49" t="n">
        <v>0</v>
      </c>
      <c r="M18" s="49" t="n">
        <v>0</v>
      </c>
      <c r="N18" s="49">
        <f>SUM(B18:M18)</f>
        <v/>
      </c>
    </row>
    <row r="19">
      <c r="A19" s="48" t="inlineStr">
        <is>
          <t>Total costs</t>
        </is>
      </c>
      <c r="B19" s="49">
        <f>B16+B17+B18</f>
        <v/>
      </c>
      <c r="C19" s="49">
        <f>C16+C17+C18</f>
        <v/>
      </c>
      <c r="D19" s="49">
        <f>D16+D17+D18</f>
        <v/>
      </c>
      <c r="E19" s="49">
        <f>E16+E17+E18</f>
        <v/>
      </c>
      <c r="F19" s="49">
        <f>F16+F17+F18</f>
        <v/>
      </c>
      <c r="G19" s="49">
        <f>G16+G17+G18</f>
        <v/>
      </c>
      <c r="H19" s="49">
        <f>H16+H17+H18</f>
        <v/>
      </c>
      <c r="I19" s="49">
        <f>I16+I17+I18</f>
        <v/>
      </c>
      <c r="J19" s="49">
        <f>J16+J17+J18</f>
        <v/>
      </c>
      <c r="K19" s="49">
        <f>K16+K17+K18</f>
        <v/>
      </c>
      <c r="L19" s="49">
        <f>L16+L17+L18</f>
        <v/>
      </c>
      <c r="M19" s="49">
        <f>M16+M17+M18</f>
        <v/>
      </c>
      <c r="N19" s="49">
        <f>N16+N17+N18</f>
        <v/>
      </c>
    </row>
    <row r="20"/>
    <row r="21">
      <c r="A21" s="48" t="inlineStr">
        <is>
          <t>NET</t>
        </is>
      </c>
    </row>
    <row r="22">
      <c r="A22" t="inlineStr">
        <is>
          <t>Net monthly cash flow</t>
        </is>
      </c>
      <c r="B22" s="49">
        <f>B13-B19</f>
        <v/>
      </c>
      <c r="C22" s="49">
        <f>C13-C19</f>
        <v/>
      </c>
      <c r="D22" s="49">
        <f>D13-D19</f>
        <v/>
      </c>
      <c r="E22" s="49">
        <f>E13-E19</f>
        <v/>
      </c>
      <c r="F22" s="49">
        <f>F13-F19</f>
        <v/>
      </c>
      <c r="G22" s="49">
        <f>G13-G19</f>
        <v/>
      </c>
      <c r="H22" s="49">
        <f>H13-H19</f>
        <v/>
      </c>
      <c r="I22" s="49">
        <f>I13-I19</f>
        <v/>
      </c>
      <c r="J22" s="49">
        <f>J13-J19</f>
        <v/>
      </c>
      <c r="K22" s="49">
        <f>K13-K19</f>
        <v/>
      </c>
      <c r="L22" s="49">
        <f>L13-L19</f>
        <v/>
      </c>
      <c r="M22" s="49">
        <f>M13-M19</f>
        <v/>
      </c>
      <c r="N22" s="49">
        <f>N13-N19</f>
        <v/>
      </c>
    </row>
    <row r="23">
      <c r="A23" t="inlineStr">
        <is>
          <t>Cumulative cash position</t>
        </is>
      </c>
      <c r="B23" s="49">
        <f>B22</f>
        <v/>
      </c>
      <c r="C23" s="49">
        <f>B23+C22</f>
        <v/>
      </c>
      <c r="D23" s="49">
        <f>C23+D22</f>
        <v/>
      </c>
      <c r="E23" s="49">
        <f>D23+E22</f>
        <v/>
      </c>
      <c r="F23" s="49">
        <f>E23+F22</f>
        <v/>
      </c>
      <c r="G23" s="49">
        <f>F23+G22</f>
        <v/>
      </c>
      <c r="H23" s="49">
        <f>G23+H22</f>
        <v/>
      </c>
      <c r="I23" s="49">
        <f>H23+I22</f>
        <v/>
      </c>
      <c r="J23" s="49">
        <f>I23+J22</f>
        <v/>
      </c>
      <c r="K23" s="49">
        <f>J23+K22</f>
        <v/>
      </c>
      <c r="L23" s="49">
        <f>K23+L22</f>
        <v/>
      </c>
      <c r="M23" s="49">
        <f>L23+M22</f>
        <v/>
      </c>
      <c r="N23" s="49">
        <f>M23+N22</f>
        <v/>
      </c>
    </row>
    <row r="25">
      <c r="A25" s="50" t="inlineStr">
        <is>
          <t>Notes:</t>
        </is>
      </c>
    </row>
    <row r="26">
      <c r="A26" t="inlineStr">
        <is>
          <t>This pilot scenario replaces the original 48-panel Year 1 plan. Program ramps to 10 panels across 10 months.</t>
        </is>
      </c>
    </row>
    <row r="27">
      <c r="A27" t="inlineStr">
        <is>
          <t>Fixed costs reduced by eliminating the part-time coordinator and trimming admin/marketing budgets.</t>
        </is>
      </c>
    </row>
    <row r="28">
      <c r="A28" t="inlineStr">
        <is>
          <t>Startup costs reduced to $1,500 (self-filed 501(c)(3), DIY branding).</t>
        </is>
      </c>
    </row>
    <row r="29">
      <c r="A29" t="inlineStr">
        <is>
          <t>Grant revenue assumes one $5K Q2 community arts grant and one $10K Q4 youth development grant.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style="24" min="1" max="1"/>
    <col width="8" customWidth="1" style="24" min="2" max="2"/>
    <col width="20" customWidth="1" style="24" min="3" max="3"/>
    <col width="16" customWidth="1" style="24" min="4" max="4"/>
    <col width="14" customWidth="1" style="24" min="5" max="5"/>
    <col width="22" customWidth="1" style="24" min="6" max="6"/>
    <col width="18" customWidth="1" style="24" min="7" max="7"/>
    <col width="12" customWidth="1" style="24" min="8" max="8"/>
    <col width="45" customWidth="1" style="24" min="9" max="9"/>
  </cols>
  <sheetData>
    <row r="1">
      <c r="A1" s="46" t="inlineStr">
        <is>
          <t>Sidewalk Stories LA — Grant Detail &amp; Pipeline</t>
        </is>
      </c>
    </row>
    <row r="3">
      <c r="A3" s="47" t="inlineStr">
        <is>
          <t>Funder</t>
        </is>
      </c>
      <c r="B3" s="47" t="inlineStr">
        <is>
          <t>Tier</t>
        </is>
      </c>
      <c r="C3" s="47" t="inlineStr">
        <is>
          <t>Focus Area</t>
        </is>
      </c>
      <c r="D3" s="47" t="inlineStr">
        <is>
          <t>Typical Award</t>
        </is>
      </c>
      <c r="E3" s="47" t="inlineStr">
        <is>
          <t>Target Ask</t>
        </is>
      </c>
      <c r="F3" s="47" t="inlineStr">
        <is>
          <t>Deadline</t>
        </is>
      </c>
      <c r="G3" s="47" t="inlineStr">
        <is>
          <t>Status</t>
        </is>
      </c>
      <c r="H3" s="47" t="inlineStr">
        <is>
          <t>Probability</t>
        </is>
      </c>
      <c r="I3" s="47" t="inlineStr">
        <is>
          <t>Notes</t>
        </is>
      </c>
    </row>
    <row r="4">
      <c r="A4" t="inlineStr">
        <is>
          <t>Awesome Foundation LA</t>
        </is>
      </c>
      <c r="B4" t="inlineStr">
        <is>
          <t>1</t>
        </is>
      </c>
      <c r="C4" t="inlineStr">
        <is>
          <t>Community projects</t>
        </is>
      </c>
      <c r="D4" t="inlineStr">
        <is>
          <t>$1,000</t>
        </is>
      </c>
      <c r="E4" t="inlineStr">
        <is>
          <t>$1,000</t>
        </is>
      </c>
      <c r="F4" t="inlineStr">
        <is>
          <t>Rolling (monthly)</t>
        </is>
      </c>
      <c r="G4" t="inlineStr">
        <is>
          <t>Not yet applied</t>
        </is>
      </c>
      <c r="H4" t="inlineStr">
        <is>
          <t>High</t>
        </is>
      </c>
      <c r="I4" t="inlineStr">
        <is>
          <t>No 501(c)(3) required. Great for first panel materials.</t>
        </is>
      </c>
    </row>
    <row r="5">
      <c r="A5" t="inlineStr">
        <is>
          <t>Neighborhood Council Grant</t>
        </is>
      </c>
      <c r="B5" t="inlineStr">
        <is>
          <t>1</t>
        </is>
      </c>
      <c r="C5" t="inlineStr">
        <is>
          <t>Local improvement</t>
        </is>
      </c>
      <c r="D5" t="inlineStr">
        <is>
          <t>$2,500</t>
        </is>
      </c>
      <c r="E5" t="inlineStr">
        <is>
          <t>$2,500</t>
        </is>
      </c>
      <c r="F5" t="inlineStr">
        <is>
          <t>Varies by council</t>
        </is>
      </c>
      <c r="G5" t="inlineStr">
        <is>
          <t>Not yet applied</t>
        </is>
      </c>
      <c r="H5" t="inlineStr">
        <is>
          <t>High</t>
        </is>
      </c>
      <c r="I5" t="inlineStr">
        <is>
          <t>Need pilot neighborhood selected.</t>
        </is>
      </c>
    </row>
    <row r="6">
      <c r="A6" t="inlineStr">
        <is>
          <t>Local Business Sponsors (5)</t>
        </is>
      </c>
      <c r="B6" t="inlineStr">
        <is>
          <t>4</t>
        </is>
      </c>
      <c r="C6" t="inlineStr">
        <is>
          <t>Corporate sponsorship</t>
        </is>
      </c>
      <c r="D6" t="inlineStr">
        <is>
          <t>$750/panel</t>
        </is>
      </c>
      <c r="E6" t="inlineStr">
        <is>
          <t>$3,750</t>
        </is>
      </c>
      <c r="F6" t="inlineStr">
        <is>
          <t>Ongoing</t>
        </is>
      </c>
      <c r="G6" t="inlineStr">
        <is>
          <t>Not yet approached</t>
        </is>
      </c>
      <c r="H6" t="inlineStr">
        <is>
          <t>High</t>
        </is>
      </c>
      <c r="I6" t="inlineStr">
        <is>
          <t>Logo on mosaic, social content, press mention.</t>
        </is>
      </c>
    </row>
    <row r="7">
      <c r="A7" t="inlineStr">
        <is>
          <t>AARP Community Challenge</t>
        </is>
      </c>
      <c r="B7" t="inlineStr">
        <is>
          <t>3</t>
        </is>
      </c>
      <c r="C7" t="inlineStr">
        <is>
          <t>Livability / seniors</t>
        </is>
      </c>
      <c r="D7" t="inlineStr">
        <is>
          <t>$10,000</t>
        </is>
      </c>
      <c r="E7" t="inlineStr">
        <is>
          <t>$10,000</t>
        </is>
      </c>
      <c r="F7" t="inlineStr">
        <is>
          <t>Annual cycle (opens early year)</t>
        </is>
      </c>
      <c r="G7" t="inlineStr">
        <is>
          <t>Not yet applied</t>
        </is>
      </c>
      <c r="H7" t="inlineStr">
        <is>
          <t>Medium</t>
        </is>
      </c>
      <c r="I7" t="inlineStr">
        <is>
          <t>Strong fit: sidewalk safety for seniors.</t>
        </is>
      </c>
    </row>
    <row r="8">
      <c r="A8" t="inlineStr">
        <is>
          <t>LA County Arts Commission</t>
        </is>
      </c>
      <c r="B8" t="inlineStr">
        <is>
          <t>1</t>
        </is>
      </c>
      <c r="C8" t="inlineStr">
        <is>
          <t>Public art / youth arts</t>
        </is>
      </c>
      <c r="D8" t="inlineStr">
        <is>
          <t>$10,000</t>
        </is>
      </c>
      <c r="E8" t="inlineStr">
        <is>
          <t>$10,000</t>
        </is>
      </c>
      <c r="F8" t="inlineStr">
        <is>
          <t>Check quarterly cycles</t>
        </is>
      </c>
      <c r="G8" t="inlineStr">
        <is>
          <t>Not yet applied</t>
        </is>
      </c>
      <c r="H8" t="inlineStr">
        <is>
          <t>Medium</t>
        </is>
      </c>
      <c r="I8" t="inlineStr">
        <is>
          <t>Directly funds public art in neighborhoods.</t>
        </is>
      </c>
    </row>
    <row r="9">
      <c r="A9" t="inlineStr">
        <is>
          <t>City of LA DCA</t>
        </is>
      </c>
      <c r="B9" t="inlineStr">
        <is>
          <t>1</t>
        </is>
      </c>
      <c r="C9" t="inlineStr">
        <is>
          <t>Public art / youth</t>
        </is>
      </c>
      <c r="D9" t="inlineStr">
        <is>
          <t>$10,000</t>
        </is>
      </c>
      <c r="E9" t="inlineStr">
        <is>
          <t>$10,000</t>
        </is>
      </c>
      <c r="F9" t="inlineStr">
        <is>
          <t>Check annual cycle</t>
        </is>
      </c>
      <c r="G9" t="inlineStr">
        <is>
          <t>Not yet applied</t>
        </is>
      </c>
      <c r="H9" t="inlineStr">
        <is>
          <t>Medium</t>
        </is>
      </c>
      <c r="I9" t="inlineStr">
        <is>
          <t>DCA funds public art in the right of way.</t>
        </is>
      </c>
    </row>
    <row r="10">
      <c r="A10" t="inlineStr">
        <is>
          <t>California Community Foundation</t>
        </is>
      </c>
      <c r="B10" t="inlineStr">
        <is>
          <t>1</t>
        </is>
      </c>
      <c r="C10" t="inlineStr">
        <is>
          <t>Arts / civic engagement</t>
        </is>
      </c>
      <c r="D10" t="inlineStr">
        <is>
          <t>$15,000</t>
        </is>
      </c>
      <c r="E10" t="inlineStr">
        <is>
          <t>$15,000</t>
        </is>
      </c>
      <c r="F10" t="inlineStr">
        <is>
          <t>Responsive grants (quarterly)</t>
        </is>
      </c>
      <c r="G10" t="inlineStr">
        <is>
          <t>Not yet applied</t>
        </is>
      </c>
      <c r="H10" t="inlineStr">
        <is>
          <t>Medium</t>
        </is>
      </c>
      <c r="I10" t="inlineStr">
        <is>
          <t>CCF funds LA County neighborhood improvement.</t>
        </is>
      </c>
    </row>
    <row r="11">
      <c r="A11" t="inlineStr">
        <is>
          <t>Weingart Foundation</t>
        </is>
      </c>
      <c r="B11" t="inlineStr">
        <is>
          <t>1</t>
        </is>
      </c>
      <c r="C11" t="inlineStr">
        <is>
          <t>Youth / community</t>
        </is>
      </c>
      <c r="D11" t="inlineStr">
        <is>
          <t>$25,000</t>
        </is>
      </c>
      <c r="E11" t="inlineStr">
        <is>
          <t>$25,000</t>
        </is>
      </c>
      <c r="F11" t="inlineStr">
        <is>
          <t>Check guidelines</t>
        </is>
      </c>
      <c r="G11" t="inlineStr">
        <is>
          <t>Not yet applied</t>
        </is>
      </c>
      <c r="H11" t="inlineStr">
        <is>
          <t>Medium</t>
        </is>
      </c>
      <c r="I11" t="inlineStr">
        <is>
          <t>Explicitly funds programs improving neighborhoods for youth.</t>
        </is>
      </c>
    </row>
    <row r="12">
      <c r="A12" t="inlineStr">
        <is>
          <t>National Endowment for the Arts</t>
        </is>
      </c>
      <c r="B12" t="inlineStr">
        <is>
          <t>2</t>
        </is>
      </c>
      <c r="C12" t="inlineStr">
        <is>
          <t>Public art / community</t>
        </is>
      </c>
      <c r="D12" t="inlineStr">
        <is>
          <t>$10,000</t>
        </is>
      </c>
      <c r="E12" t="inlineStr">
        <is>
          <t>$15,000</t>
        </is>
      </c>
      <c r="F12" t="inlineStr">
        <is>
          <t>Annual cycle</t>
        </is>
      </c>
      <c r="G12" t="inlineStr">
        <is>
          <t>Not yet applied</t>
        </is>
      </c>
      <c r="H12" t="inlineStr">
        <is>
          <t>Low-Medium</t>
        </is>
      </c>
      <c r="I12" t="inlineStr">
        <is>
          <t>Requires 501(c)(3) status or fiscal sponsor.</t>
        </is>
      </c>
    </row>
    <row r="13">
      <c r="A13" t="inlineStr">
        <is>
          <t>Surdna Foundation</t>
        </is>
      </c>
      <c r="B13" t="inlineStr">
        <is>
          <t>2</t>
        </is>
      </c>
      <c r="C13" t="inlineStr">
        <is>
          <t>Creative placemaking</t>
        </is>
      </c>
      <c r="D13" t="inlineStr">
        <is>
          <t>$25,000</t>
        </is>
      </c>
      <c r="E13" t="inlineStr">
        <is>
          <t>$25,000</t>
        </is>
      </c>
      <c r="F13" t="inlineStr">
        <is>
          <t>Check guidelines</t>
        </is>
      </c>
      <c r="G13" t="inlineStr">
        <is>
          <t>Not yet applied</t>
        </is>
      </c>
      <c r="H13" t="inlineStr">
        <is>
          <t>Low-Medium</t>
        </is>
      </c>
      <c r="I13" t="inlineStr">
        <is>
          <t>Funds youth shaping built environment.</t>
        </is>
      </c>
    </row>
    <row r="14">
      <c r="A14" t="inlineStr">
        <is>
          <t>Jewish Federation of Greater LA</t>
        </is>
      </c>
      <c r="B14" t="inlineStr">
        <is>
          <t>4</t>
        </is>
      </c>
      <c r="C14" t="inlineStr">
        <is>
          <t>Jewish community / youth</t>
        </is>
      </c>
      <c r="D14" t="inlineStr">
        <is>
          <t>$10,000</t>
        </is>
      </c>
      <c r="E14" t="inlineStr">
        <is>
          <t>$10,000</t>
        </is>
      </c>
      <c r="F14" t="inlineStr">
        <is>
          <t>Check annual cycle</t>
        </is>
      </c>
      <c r="G14" t="inlineStr">
        <is>
          <t>Not yet applied</t>
        </is>
      </c>
      <c r="H14" t="inlineStr">
        <is>
          <t>Medium</t>
        </is>
      </c>
      <c r="I14" t="inlineStr">
        <is>
          <t>If Jewish youth participate, strong fit.</t>
        </is>
      </c>
    </row>
    <row r="15">
      <c r="A15" t="inlineStr">
        <is>
          <t>Safe Sidewalks LA Rebate</t>
        </is>
      </c>
      <c r="B15" t="inlineStr">
        <is>
          <t>3</t>
        </is>
      </c>
      <c r="C15" t="inlineStr">
        <is>
          <t>Cost offset / homeowner</t>
        </is>
      </c>
      <c r="D15" t="inlineStr">
        <is>
          <t>$10,000</t>
        </is>
      </c>
      <c r="E15" t="inlineStr">
        <is>
          <t>$10,000</t>
        </is>
      </c>
      <c r="F15" t="inlineStr">
        <is>
          <t>Ongoing</t>
        </is>
      </c>
      <c r="G15" t="inlineStr">
        <is>
          <t>Researching</t>
        </is>
      </c>
      <c r="H15" t="inlineStr">
        <is>
          <t>Medium</t>
        </is>
      </c>
      <c r="I15" t="inlineStr">
        <is>
          <t>Homeowner rebate, not direct nonprofit revenue.</t>
        </is>
      </c>
    </row>
    <row r="18">
      <c r="A18" s="51" t="inlineStr">
        <is>
          <t>Pipeline Summary</t>
        </is>
      </c>
    </row>
    <row r="19">
      <c r="A19" t="inlineStr">
        <is>
          <t>Total Year 1 Grant + Sponsor Target:</t>
        </is>
      </c>
      <c r="B19" s="49">
        <f>SUM(E4:E15)</f>
        <v/>
      </c>
    </row>
    <row r="20">
      <c r="A20" t="inlineStr">
        <is>
          <t>Less Conservative Estimate (60% of target):</t>
        </is>
      </c>
      <c r="B20" s="49">
        <f>B19*0.6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2026-07-19T17:49:25Z</dcterms:created>
  <dcterms:modified xmlns:dcterms="http://purl.org/dc/terms/" xmlns:xsi="http://www.w3.org/2001/XMLSchema-instance" xsi:type="dcterms:W3CDTF">2026-07-19T23:58:40Z</dcterms:modified>
  <cp:revision>0</cp:revision>
</cp:coreProperties>
</file>